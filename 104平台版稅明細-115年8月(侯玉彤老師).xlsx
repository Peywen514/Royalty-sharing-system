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eggy_chien\Desktop\104&amp;1111\已上架課程\銷售請款\"/>
    </mc:Choice>
  </mc:AlternateContent>
  <xr:revisionPtr revIDLastSave="0" documentId="13_ncr:1_{7AC261D6-700F-4507-93BB-464988925B6D}" xr6:coauthVersionLast="36" xr6:coauthVersionMax="36" xr10:uidLastSave="{00000000-0000-0000-0000-000000000000}"/>
  <bookViews>
    <workbookView xWindow="0" yWindow="0" windowWidth="28800" windowHeight="12060" xr2:uid="{63051DB3-1903-4470-A4B7-1C0E4E7C57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 l="1"/>
</calcChain>
</file>

<file path=xl/sharedStrings.xml><?xml version="1.0" encoding="utf-8"?>
<sst xmlns="http://schemas.openxmlformats.org/spreadsheetml/2006/main" count="16" uniqueCount="16">
  <si>
    <t>NO.</t>
    <phoneticPr fontId="1" type="noConversion"/>
  </si>
  <si>
    <t>定價</t>
    <phoneticPr fontId="1" type="noConversion"/>
  </si>
  <si>
    <t>數量</t>
    <phoneticPr fontId="1" type="noConversion"/>
  </si>
  <si>
    <t>備註</t>
    <phoneticPr fontId="1" type="noConversion"/>
  </si>
  <si>
    <t>課程名稱</t>
    <phoneticPr fontId="1" type="noConversion"/>
  </si>
  <si>
    <t>AIＸ數據分析術:從報表到洞察，全面升級你的職場決策力</t>
    <phoneticPr fontId="1" type="noConversion"/>
  </si>
  <si>
    <t>講師 ：侯玉彤</t>
    <phoneticPr fontId="1" type="noConversion"/>
  </si>
  <si>
    <t>115年8月</t>
    <phoneticPr fontId="1" type="noConversion"/>
  </si>
  <si>
    <t>課程製作相關費用</t>
    <phoneticPr fontId="1" type="noConversion"/>
  </si>
  <si>
    <t>平台扣除服務費淨額</t>
    <phoneticPr fontId="1" type="noConversion"/>
  </si>
  <si>
    <t>結餘淨利</t>
    <phoneticPr fontId="1" type="noConversion"/>
  </si>
  <si>
    <t>本期應付</t>
    <phoneticPr fontId="1" type="noConversion"/>
  </si>
  <si>
    <t>講師分潤</t>
    <phoneticPr fontId="1" type="noConversion"/>
  </si>
  <si>
    <t>50%</t>
    <phoneticPr fontId="1" type="noConversion"/>
  </si>
  <si>
    <t>-19.5</t>
    <phoneticPr fontId="1" type="noConversion"/>
  </si>
  <si>
    <t>扣除平台服務費、課程製作相關費用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</si>
</sst>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638174</xdr:colOff>
      <xdr:row>10</xdr:row>
      <xdr:rowOff>95249</xdr:rowOff>
    </xdr:from>
    <xdr:to>
      <xdr:col>2</xdr:col>
      <xdr:colOff>628649</xdr:colOff>
      <xdr:row>38</xdr:row>
      <xdr:rowOff>161924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85699D5F-6D52-413D-BFED-CDC4B22C85BE}"/>
            </a:ext>
          </a:extLst>
        </xdr:cNvPr>
        <xdr:cNvSpPr txBox="1"/>
      </xdr:nvSpPr>
      <xdr:spPr>
        <a:xfrm>
          <a:off x="1390649" y="2190749"/>
          <a:ext cx="6296025" cy="5934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/>
            <a:t>   </a:t>
          </a:r>
          <a:r>
            <a:rPr lang="en-US" altLang="zh-TW" sz="1100"/>
            <a:t>【</a:t>
          </a:r>
          <a:r>
            <a:rPr lang="zh-TW" altLang="en-US" sz="1100"/>
            <a:t>線上課程版稅結算明細單</a:t>
          </a:r>
          <a:r>
            <a:rPr lang="en-US" altLang="zh-TW" sz="1100"/>
            <a:t>】</a:t>
          </a:r>
        </a:p>
        <a:p>
          <a:r>
            <a:rPr lang="en-US" altLang="zh-TW" sz="1100"/>
            <a:t>    </a:t>
          </a:r>
          <a:r>
            <a:rPr lang="zh-TW" altLang="en-US" sz="1100"/>
            <a:t>課程名稱：</a:t>
          </a:r>
          <a:r>
            <a:rPr lang="en-US" altLang="zh-TW" sz="1100"/>
            <a:t>AIX </a:t>
          </a:r>
          <a:r>
            <a:rPr lang="zh-TW" altLang="en-US" sz="1100"/>
            <a:t>數據分析術：從報表到洞察，全面升級你的職場決策力</a:t>
          </a:r>
        </a:p>
        <a:p>
          <a:r>
            <a:rPr lang="zh-TW" altLang="en-US" sz="1100"/>
            <a:t>    結算區間：</a:t>
          </a:r>
          <a:r>
            <a:rPr lang="en-US" altLang="zh-TW" sz="1100"/>
            <a:t>2026</a:t>
          </a:r>
          <a:r>
            <a:rPr lang="zh-TW" altLang="en-US" sz="1100"/>
            <a:t>年 </a:t>
          </a:r>
          <a:r>
            <a:rPr lang="en-US" altLang="zh-TW" sz="1100"/>
            <a:t>8 </a:t>
          </a:r>
          <a:r>
            <a:rPr lang="zh-TW" altLang="en-US" sz="1100"/>
            <a:t>月</a:t>
          </a:r>
        </a:p>
        <a:p>
          <a:r>
            <a:rPr lang="zh-TW" altLang="en-US" sz="1100"/>
            <a:t>    </a:t>
          </a:r>
          <a:r>
            <a:rPr lang="en-US" altLang="zh-TW" sz="1100"/>
            <a:t>========================================================================</a:t>
          </a:r>
        </a:p>
        <a:p>
          <a:endParaRPr lang="en-US" altLang="zh-TW" sz="1100"/>
        </a:p>
        <a:p>
          <a:r>
            <a:rPr lang="en-US" altLang="zh-TW" sz="1100"/>
            <a:t>    </a:t>
          </a:r>
          <a:r>
            <a:rPr lang="zh-TW" altLang="en-US" sz="1100"/>
            <a:t>一、平台銷售收入</a:t>
          </a:r>
        </a:p>
        <a:p>
          <a:r>
            <a:rPr lang="zh-TW" altLang="en-US" sz="1100"/>
            <a:t>      </a:t>
          </a:r>
          <a:r>
            <a:rPr lang="en-US" altLang="zh-TW" sz="1100"/>
            <a:t>1. </a:t>
          </a:r>
          <a:r>
            <a:rPr lang="zh-TW" altLang="en-US" sz="1100"/>
            <a:t>課程定價：                     </a:t>
          </a:r>
          <a:r>
            <a:rPr lang="en-US" altLang="zh-TW" sz="1100"/>
            <a:t>$ 1,288</a:t>
          </a:r>
        </a:p>
        <a:p>
          <a:r>
            <a:rPr lang="en-US" altLang="zh-TW" sz="1100"/>
            <a:t>      2. </a:t>
          </a:r>
          <a:r>
            <a:rPr lang="zh-TW" altLang="en-US" sz="1100"/>
            <a:t>結算銷售數量：                       </a:t>
          </a:r>
          <a:r>
            <a:rPr lang="en-US" altLang="zh-TW" sz="1100"/>
            <a:t>1 </a:t>
          </a:r>
          <a:r>
            <a:rPr lang="zh-TW" altLang="en-US" sz="1100"/>
            <a:t>門</a:t>
          </a:r>
        </a:p>
        <a:p>
          <a:r>
            <a:rPr lang="zh-TW" altLang="en-US" sz="1100"/>
            <a:t>      </a:t>
          </a:r>
          <a:r>
            <a:rPr lang="en-US" altLang="zh-TW" sz="1100"/>
            <a:t>3. 104</a:t>
          </a:r>
          <a:r>
            <a:rPr lang="zh-TW" altLang="en-US" sz="1100"/>
            <a:t>平台扣除服務費後撥款淨額 </a:t>
          </a:r>
          <a:r>
            <a:rPr lang="en-US" altLang="zh-TW" sz="1100"/>
            <a:t>(A)</a:t>
          </a:r>
          <a:r>
            <a:rPr lang="zh-TW" altLang="en-US" sz="1100"/>
            <a:t>：       </a:t>
          </a:r>
          <a:r>
            <a:rPr lang="en-US" altLang="zh-TW" sz="1100"/>
            <a:t>$ 1,030  (</a:t>
          </a:r>
          <a:r>
            <a:rPr lang="zh-TW" altLang="en-US" sz="1100"/>
            <a:t>扣除平台手續費及折扣</a:t>
          </a:r>
          <a:r>
            <a:rPr lang="en-US" altLang="zh-TW" sz="1100"/>
            <a:t>)</a:t>
          </a:r>
        </a:p>
        <a:p>
          <a:endParaRPr lang="en-US" altLang="zh-TW" sz="1100"/>
        </a:p>
        <a:p>
          <a:r>
            <a:rPr lang="en-US" altLang="zh-TW" sz="1100"/>
            <a:t>    </a:t>
          </a:r>
          <a:r>
            <a:rPr lang="zh-TW" altLang="en-US" sz="1100"/>
            <a:t>二、專案支出費用</a:t>
          </a:r>
        </a:p>
        <a:p>
          <a:r>
            <a:rPr lang="zh-TW" altLang="en-US" sz="1100"/>
            <a:t>      </a:t>
          </a:r>
          <a:r>
            <a:rPr lang="en-US" altLang="zh-TW" sz="1100"/>
            <a:t>4. </a:t>
          </a:r>
          <a:r>
            <a:rPr lang="zh-TW" altLang="en-US" sz="1100"/>
            <a:t>課程影片製作費及行銷費 </a:t>
          </a:r>
          <a:r>
            <a:rPr lang="en-US" altLang="zh-TW" sz="1100"/>
            <a:t>(B)</a:t>
          </a:r>
          <a:r>
            <a:rPr lang="zh-TW" altLang="en-US" sz="1100"/>
            <a:t>：           </a:t>
          </a:r>
          <a:r>
            <a:rPr lang="en-US" altLang="zh-TW" sz="1100"/>
            <a:t>$ 1,069</a:t>
          </a:r>
        </a:p>
        <a:p>
          <a:r>
            <a:rPr lang="en-US" altLang="zh-TW" sz="1100"/>
            <a:t>      ----------------------------------------------------------------------</a:t>
          </a:r>
        </a:p>
        <a:p>
          <a:r>
            <a:rPr lang="en-US" altLang="zh-TW" sz="1100"/>
            <a:t>      </a:t>
          </a:r>
          <a:r>
            <a:rPr lang="zh-TW" altLang="en-US" sz="1100"/>
            <a:t>小計費用 </a:t>
          </a:r>
          <a:r>
            <a:rPr lang="en-US" altLang="zh-TW" sz="1100"/>
            <a:t>(B)</a:t>
          </a:r>
          <a:r>
            <a:rPr lang="zh-TW" altLang="en-US" sz="1100"/>
            <a:t>：                            </a:t>
          </a:r>
          <a:r>
            <a:rPr lang="en-US" altLang="zh-TW" sz="1100"/>
            <a:t>$ 1,069</a:t>
          </a:r>
        </a:p>
        <a:p>
          <a:endParaRPr lang="en-US" altLang="zh-TW" sz="1100"/>
        </a:p>
        <a:p>
          <a:r>
            <a:rPr lang="en-US" altLang="zh-TW" sz="1100"/>
            <a:t>    </a:t>
          </a:r>
          <a:r>
            <a:rPr lang="zh-TW" altLang="en-US" sz="1100"/>
            <a:t>三、損益結算與分潤計算</a:t>
          </a:r>
        </a:p>
        <a:p>
          <a:r>
            <a:rPr lang="zh-TW" altLang="en-US" sz="1100"/>
            <a:t>      </a:t>
          </a:r>
          <a:r>
            <a:rPr lang="en-US" altLang="zh-TW" sz="1100"/>
            <a:t>5. </a:t>
          </a:r>
          <a:r>
            <a:rPr lang="zh-TW" altLang="en-US" sz="1100"/>
            <a:t>專案結餘淨利 </a:t>
          </a:r>
          <a:r>
            <a:rPr lang="en-US" altLang="zh-TW" sz="1100"/>
            <a:t>(C = A - B)</a:t>
          </a:r>
          <a:r>
            <a:rPr lang="zh-TW" altLang="en-US" sz="1100"/>
            <a:t>：               </a:t>
          </a:r>
          <a:r>
            <a:rPr lang="en-US" altLang="zh-TW" sz="1100"/>
            <a:t>$ -39   ($1,030 - $1,069)</a:t>
          </a:r>
        </a:p>
        <a:p>
          <a:r>
            <a:rPr lang="en-US" altLang="zh-TW" sz="1100"/>
            <a:t>      6. </a:t>
          </a:r>
          <a:r>
            <a:rPr lang="zh-TW" altLang="en-US" sz="1100"/>
            <a:t>雙方分潤比例：                             </a:t>
          </a:r>
          <a:r>
            <a:rPr lang="en-US" altLang="zh-TW" sz="1100"/>
            <a:t>50%</a:t>
          </a:r>
        </a:p>
        <a:p>
          <a:r>
            <a:rPr lang="en-US" altLang="zh-TW" sz="1100"/>
            <a:t>      7. </a:t>
          </a:r>
          <a:r>
            <a:rPr lang="zh-TW" altLang="en-US" sz="1100"/>
            <a:t>本期分潤試算 </a:t>
          </a:r>
          <a:r>
            <a:rPr lang="en-US" altLang="zh-TW" sz="1100"/>
            <a:t>(D = C × 50%)</a:t>
          </a:r>
          <a:r>
            <a:rPr lang="zh-TW" altLang="en-US" sz="1100"/>
            <a:t>：           </a:t>
          </a:r>
          <a:r>
            <a:rPr lang="en-US" altLang="zh-TW" sz="1100"/>
            <a:t>$ -19.5</a:t>
          </a:r>
        </a:p>
        <a:p>
          <a:r>
            <a:rPr lang="en-US" altLang="zh-TW" sz="1100"/>
            <a:t>      ----------------------------------------------------------------------</a:t>
          </a:r>
        </a:p>
        <a:p>
          <a:r>
            <a:rPr lang="en-US" altLang="zh-TW" sz="1100"/>
            <a:t>      ★ </a:t>
          </a:r>
          <a:r>
            <a:rPr lang="zh-TW" altLang="en-US" sz="1100"/>
            <a:t>本期實際支付版稅金額：                      </a:t>
          </a:r>
          <a:r>
            <a:rPr lang="en-US" altLang="zh-TW" sz="1100"/>
            <a:t>$ 0   (</a:t>
          </a:r>
          <a:r>
            <a:rPr lang="zh-TW" altLang="en-US" sz="1100"/>
            <a:t>成本回收中，未達分潤門檻</a:t>
          </a:r>
          <a:r>
            <a:rPr lang="en-US" altLang="zh-TW" sz="1100"/>
            <a:t>)</a:t>
          </a:r>
        </a:p>
        <a:p>
          <a:r>
            <a:rPr lang="en-US" altLang="zh-TW" sz="1100"/>
            <a:t>      ★ </a:t>
          </a:r>
          <a:r>
            <a:rPr lang="zh-TW" altLang="en-US" sz="1100"/>
            <a:t>剩餘待沖抵成本 </a:t>
          </a:r>
          <a:r>
            <a:rPr lang="en-US" altLang="zh-TW" sz="1100"/>
            <a:t>(</a:t>
          </a:r>
          <a:r>
            <a:rPr lang="zh-TW" altLang="en-US" sz="1100"/>
            <a:t>結轉次期抵扣</a:t>
          </a:r>
          <a:r>
            <a:rPr lang="en-US" altLang="zh-TW" sz="1100"/>
            <a:t>)</a:t>
          </a:r>
          <a:r>
            <a:rPr lang="zh-TW" altLang="en-US" sz="1100"/>
            <a:t>：             </a:t>
          </a:r>
          <a:r>
            <a:rPr lang="en-US" altLang="zh-TW" sz="1100"/>
            <a:t>$ 39   (</a:t>
          </a:r>
          <a:r>
            <a:rPr lang="zh-TW" altLang="en-US" sz="1100"/>
            <a:t>待後續銷售收入扣抵完畢後即啟動分潤</a:t>
          </a:r>
          <a:r>
            <a:rPr lang="en-US" altLang="zh-TW" sz="1100"/>
            <a:t>)</a:t>
          </a:r>
        </a:p>
        <a:p>
          <a:endParaRPr lang="en-US" altLang="zh-TW" sz="1100"/>
        </a:p>
        <a:p>
          <a:r>
            <a:rPr lang="en-US" altLang="zh-TW" sz="1100"/>
            <a:t>    </a:t>
          </a:r>
          <a:r>
            <a:rPr lang="zh-TW" altLang="en-US" sz="1100"/>
            <a:t>備註說明：</a:t>
          </a:r>
        </a:p>
        <a:p>
          <a:r>
            <a:rPr lang="zh-TW" altLang="en-US" sz="1100"/>
            <a:t>    依雙方合約約定，平台收入優先扣除製作及行銷費用，結餘款項再依 </a:t>
          </a:r>
          <a:r>
            <a:rPr lang="en-US" altLang="zh-TW" sz="1100"/>
            <a:t>50% </a:t>
          </a:r>
          <a:r>
            <a:rPr lang="zh-TW" altLang="en-US" sz="1100"/>
            <a:t>進行版稅分配。</a:t>
          </a:r>
        </a:p>
        <a:p>
          <a:r>
            <a:rPr lang="zh-TW" altLang="en-US" sz="1100"/>
            <a:t>    本期費用尚有 </a:t>
          </a:r>
          <a:r>
            <a:rPr lang="en-US" altLang="zh-TW" sz="1100"/>
            <a:t>39 </a:t>
          </a:r>
          <a:r>
            <a:rPr lang="zh-TW" altLang="en-US" sz="1100"/>
            <a:t>元待回收，故本期實發為 </a:t>
          </a:r>
          <a:r>
            <a:rPr lang="en-US" altLang="zh-TW" sz="1100"/>
            <a:t>0 </a:t>
          </a:r>
          <a:r>
            <a:rPr lang="zh-TW" altLang="en-US" sz="1100"/>
            <a:t>元，後續月份銷售將繼續累計扣抵。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0AED-2865-443B-9A08-45AA81DCF9F2}">
  <sheetPr>
    <pageSetUpPr fitToPage="1"/>
  </sheetPr>
  <dimension ref="A1:J9"/>
  <sheetViews>
    <sheetView tabSelected="1" workbookViewId="0">
      <selection activeCell="F25" sqref="F25"/>
    </sheetView>
  </sheetViews>
  <sheetFormatPr defaultRowHeight="16.5" x14ac:dyDescent="0.25"/>
  <cols>
    <col min="1" max="1" width="9.875" customWidth="1"/>
    <col min="2" max="2" width="82.75" bestFit="1" customWidth="1"/>
    <col min="5" max="5" width="18.5" customWidth="1"/>
    <col min="6" max="6" width="18.25" customWidth="1"/>
    <col min="7" max="7" width="12.625" customWidth="1"/>
    <col min="8" max="8" width="22" customWidth="1"/>
    <col min="9" max="9" width="10.125" customWidth="1"/>
    <col min="10" max="10" width="40.5" bestFit="1" customWidth="1"/>
  </cols>
  <sheetData>
    <row r="1" spans="1:10" x14ac:dyDescent="0.25">
      <c r="A1" s="6" t="s">
        <v>6</v>
      </c>
      <c r="B1" s="6"/>
    </row>
    <row r="2" spans="1:10" x14ac:dyDescent="0.25">
      <c r="A2" s="6"/>
      <c r="B2" s="6"/>
    </row>
    <row r="3" spans="1:10" x14ac:dyDescent="0.25">
      <c r="J3" s="3" t="s">
        <v>7</v>
      </c>
    </row>
    <row r="4" spans="1:10" x14ac:dyDescent="0.25">
      <c r="A4" s="5" t="s">
        <v>0</v>
      </c>
      <c r="B4" s="5" t="s">
        <v>4</v>
      </c>
      <c r="C4" s="5" t="s">
        <v>1</v>
      </c>
      <c r="D4" s="7" t="s">
        <v>2</v>
      </c>
      <c r="E4" s="7" t="s">
        <v>9</v>
      </c>
      <c r="F4" s="5" t="s">
        <v>8</v>
      </c>
      <c r="G4" s="5" t="s">
        <v>10</v>
      </c>
      <c r="H4" s="7" t="s">
        <v>12</v>
      </c>
      <c r="I4" s="9" t="s">
        <v>11</v>
      </c>
      <c r="J4" s="7" t="s">
        <v>3</v>
      </c>
    </row>
    <row r="5" spans="1:10" x14ac:dyDescent="0.25">
      <c r="A5" s="5"/>
      <c r="B5" s="5"/>
      <c r="C5" s="5"/>
      <c r="D5" s="8"/>
      <c r="E5" s="8"/>
      <c r="F5" s="5"/>
      <c r="G5" s="5"/>
      <c r="H5" s="8"/>
      <c r="I5" s="10"/>
      <c r="J5" s="8"/>
    </row>
    <row r="6" spans="1:10" x14ac:dyDescent="0.25">
      <c r="A6" s="1">
        <v>1</v>
      </c>
      <c r="B6" s="2" t="s">
        <v>5</v>
      </c>
      <c r="C6" s="4">
        <v>1288</v>
      </c>
      <c r="D6" s="2">
        <v>1</v>
      </c>
      <c r="E6" s="4">
        <f>C6*0.8</f>
        <v>1030.4000000000001</v>
      </c>
      <c r="F6" s="4">
        <v>1069</v>
      </c>
      <c r="G6" s="4">
        <f>E6-F6</f>
        <v>-38.599999999999909</v>
      </c>
      <c r="H6" s="11" t="s">
        <v>13</v>
      </c>
      <c r="I6" s="12" t="s">
        <v>14</v>
      </c>
      <c r="J6" s="2" t="s">
        <v>15</v>
      </c>
    </row>
    <row r="7" spans="1:10" x14ac:dyDescent="0.25">
      <c r="A7" s="1"/>
      <c r="B7" s="2"/>
      <c r="C7" s="4"/>
      <c r="D7" s="2"/>
      <c r="E7" s="4"/>
      <c r="F7" s="4"/>
      <c r="G7" s="4"/>
      <c r="H7" s="12"/>
      <c r="I7" s="12"/>
      <c r="J7" s="2"/>
    </row>
    <row r="8" spans="1:10" x14ac:dyDescent="0.25">
      <c r="A8" s="1"/>
      <c r="B8" s="2"/>
      <c r="C8" s="4"/>
      <c r="D8" s="2"/>
      <c r="E8" s="4"/>
      <c r="F8" s="4"/>
      <c r="G8" s="4"/>
      <c r="H8" s="12"/>
      <c r="I8" s="12"/>
      <c r="J8" s="2"/>
    </row>
    <row r="9" spans="1:10" x14ac:dyDescent="0.25">
      <c r="A9" s="1"/>
      <c r="B9" s="2"/>
      <c r="C9" s="4"/>
      <c r="D9" s="2"/>
      <c r="E9" s="4"/>
      <c r="F9" s="4"/>
      <c r="G9" s="4"/>
      <c r="H9" s="12"/>
      <c r="I9" s="12"/>
      <c r="J9" s="2"/>
    </row>
  </sheetData>
  <mergeCells count="12">
    <mergeCell ref="G4:G5"/>
    <mergeCell ref="A2:B2"/>
    <mergeCell ref="A1:B1"/>
    <mergeCell ref="J4:J5"/>
    <mergeCell ref="A4:A5"/>
    <mergeCell ref="B4:B5"/>
    <mergeCell ref="C4:C5"/>
    <mergeCell ref="F4:F5"/>
    <mergeCell ref="I4:I5"/>
    <mergeCell ref="D4:D5"/>
    <mergeCell ref="E4:E5"/>
    <mergeCell ref="H4:H5"/>
  </mergeCells>
  <phoneticPr fontId="1" type="noConversion"/>
  <pageMargins left="0.25" right="0.25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簡珮雯</dc:creator>
  <cp:lastModifiedBy>簡珮雯</cp:lastModifiedBy>
  <cp:lastPrinted>2026-09-03T03:22:55Z</cp:lastPrinted>
  <dcterms:created xsi:type="dcterms:W3CDTF">2026-09-03T02:48:08Z</dcterms:created>
  <dcterms:modified xsi:type="dcterms:W3CDTF">2026-09-03T05:41:58Z</dcterms:modified>
</cp:coreProperties>
</file>